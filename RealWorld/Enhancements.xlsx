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4380" windowHeight="4200" activeTab="2"/>
  </bookViews>
  <sheets>
    <sheet name="Survey" sheetId="2" r:id="rId1"/>
    <sheet name="features" sheetId="1" r:id="rId2"/>
    <sheet name="SATISIED" sheetId="3" r:id="rId3"/>
  </sheets>
  <definedNames>
    <definedName name="_c1">Survey!$B$4:$B$15</definedName>
    <definedName name="_c2">Survey!$C$4:$C$15</definedName>
    <definedName name="_c3">Survey!$D$4:$D$15</definedName>
    <definedName name="_c4">Survey!$E$4:$E$15</definedName>
    <definedName name="_c5">Survey!$F$4:$F$15</definedName>
    <definedName name="Q1_">Survey!$P$4:$P$15</definedName>
    <definedName name="Q2_">Survey!$Q$4:$Q$15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2" i="3"/>
  <c r="B6" i="1"/>
  <c r="B5" i="1"/>
  <c r="B4" i="1"/>
  <c r="B3" i="1"/>
  <c r="B2" i="1"/>
</calcChain>
</file>

<file path=xl/sharedStrings.xml><?xml version="1.0" encoding="utf-8"?>
<sst xmlns="http://schemas.openxmlformats.org/spreadsheetml/2006/main" count="19" uniqueCount="18">
  <si>
    <t>What feature could be added to our careers portal to enhance engagement and interaction with potential applicants?</t>
  </si>
  <si>
    <t>Virtual Tours of office spaces</t>
  </si>
  <si>
    <t>Allowing applicants to create profiles</t>
  </si>
  <si>
    <t>Personalized job recommendation</t>
  </si>
  <si>
    <t>Integration of video interviewing</t>
  </si>
  <si>
    <t>c1</t>
  </si>
  <si>
    <t>c2</t>
  </si>
  <si>
    <t>c3</t>
  </si>
  <si>
    <t>c5</t>
  </si>
  <si>
    <t>c4</t>
  </si>
  <si>
    <t>Interactive Q&amp;A sessions with Stakeholders</t>
  </si>
  <si>
    <t>What feature could be added to careers IT website to enhance engagement and interaction with potential applicants?</t>
  </si>
  <si>
    <t>Users</t>
  </si>
  <si>
    <t>Q1</t>
  </si>
  <si>
    <t>Q2</t>
  </si>
  <si>
    <t>How satisfied are you with careers IT website speed?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</si>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</sst>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/>
    <xf numFmtId="0" fontId="0" fillId="0" borderId="0" xfId="0"/>
    <xf numFmtId="0" fontId="2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feature could be added to careers IT website to enhance engagement and interaction with potential applicants?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features!$B$1</c:f>
              <c:strCache>
                <c:ptCount val="1"/>
                <c:pt idx="0">
                  <c:v>What feature could be added to careers IT website to enhance engagement and interaction with potential applicants?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features!$A$2:$A$6</c:f>
              <c:strCache>
                <c:ptCount val="5"/>
                <c:pt idx="0">
                  <c:v>Virtual Tours of office spaces</c:v>
                </c:pt>
                <c:pt idx="1">
                  <c:v>Interactive Q&amp;A sessions with Stakeholders</c:v>
                </c:pt>
                <c:pt idx="2">
                  <c:v>Allowing applicants to create profiles</c:v>
                </c:pt>
                <c:pt idx="3">
                  <c:v>Personalized job recommendation</c:v>
                </c:pt>
                <c:pt idx="4">
                  <c:v>Integration of video interviewing</c:v>
                </c:pt>
              </c:strCache>
            </c:strRef>
          </c:cat>
          <c:val>
            <c:numRef>
              <c:f>features!$B$2:$B$6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11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2-4E31-865A-2AFAFBCA7E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9462880"/>
        <c:axId val="1597778160"/>
      </c:barChart>
      <c:catAx>
        <c:axId val="1689462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778160"/>
        <c:crosses val="autoZero"/>
        <c:auto val="1"/>
        <c:lblAlgn val="ctr"/>
        <c:lblOffset val="100"/>
        <c:noMultiLvlLbl val="0"/>
      </c:catAx>
      <c:valAx>
        <c:axId val="1597778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46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SATISIED!$B$1</c:f>
              <c:strCache>
                <c:ptCount val="1"/>
                <c:pt idx="0">
                  <c:v>How satisfied are you with careers IT website speed?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SATISIED!$A$2:$A$3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SATISIED!$B$2:$B$3</c:f>
              <c:numCache>
                <c:formatCode>General</c:formatCode>
                <c:ptCount val="2"/>
                <c:pt idx="0">
                  <c:v>3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B-4A22-B7A0-05C14198F08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SATISIED!$C$1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SATISIED!$A$2:$A$3</c15:sqref>
                        </c15:formulaRef>
                      </c:ext>
                    </c:extLst>
                    <c:strCache>
                      <c:ptCount val="2"/>
                      <c:pt idx="0">
                        <c:v>Yes</c:v>
                      </c:pt>
                      <c:pt idx="1">
                        <c:v>No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SATISIED!$C$2:$C$3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5DB-4A22-B7A0-05C14198F089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SATISIED!$D$1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SATISIED!$A$2:$A$3</c15:sqref>
                        </c15:formulaRef>
                      </c:ext>
                    </c:extLst>
                    <c:strCache>
                      <c:ptCount val="2"/>
                      <c:pt idx="0">
                        <c:v>Yes</c:v>
                      </c:pt>
                      <c:pt idx="1">
                        <c:v>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SATISIED!$D$2:$D$3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5DB-4A22-B7A0-05C14198F089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SATISIED!$E$1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SATISIED!$A$2:$A$3</c15:sqref>
                        </c15:formulaRef>
                      </c:ext>
                    </c:extLst>
                    <c:strCache>
                      <c:ptCount val="2"/>
                      <c:pt idx="0">
                        <c:v>Yes</c:v>
                      </c:pt>
                      <c:pt idx="1">
                        <c:v>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SATISIED!$E$2:$E$3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5DB-4A22-B7A0-05C14198F089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SATISIED!$F$1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SATISIED!$A$2:$A$3</c15:sqref>
                        </c15:formulaRef>
                      </c:ext>
                    </c:extLst>
                    <c:strCache>
                      <c:ptCount val="2"/>
                      <c:pt idx="0">
                        <c:v>Yes</c:v>
                      </c:pt>
                      <c:pt idx="1">
                        <c:v>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SATISIED!$F$2:$F$3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5DB-4A22-B7A0-05C14198F089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SATISIED!$G$1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SATISIED!$A$2:$A$3</c15:sqref>
                        </c15:formulaRef>
                      </c:ext>
                    </c:extLst>
                    <c:strCache>
                      <c:ptCount val="2"/>
                      <c:pt idx="0">
                        <c:v>Yes</c:v>
                      </c:pt>
                      <c:pt idx="1">
                        <c:v>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SATISIED!$G$2:$G$3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5DB-4A22-B7A0-05C14198F08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2</xdr:row>
      <xdr:rowOff>66675</xdr:rowOff>
    </xdr:from>
    <xdr:to>
      <xdr:col>12</xdr:col>
      <xdr:colOff>95250</xdr:colOff>
      <xdr:row>17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4</xdr:row>
      <xdr:rowOff>22225</xdr:rowOff>
    </xdr:from>
    <xdr:to>
      <xdr:col>13</xdr:col>
      <xdr:colOff>358775</xdr:colOff>
      <xdr:row>19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P11" sqref="P11"/>
    </sheetView>
  </sheetViews>
  <sheetFormatPr defaultRowHeight="14.5" x14ac:dyDescent="0.35"/>
  <sheetData>
    <row r="1" spans="1:19" x14ac:dyDescent="0.35">
      <c r="B1" s="5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9" x14ac:dyDescent="0.35">
      <c r="B2" s="1"/>
      <c r="C2" s="1"/>
      <c r="D2" s="1"/>
      <c r="E2" s="1"/>
      <c r="F2" s="1"/>
      <c r="J2" s="7" t="s">
        <v>15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6" t="s">
        <v>12</v>
      </c>
      <c r="B3" t="s">
        <v>5</v>
      </c>
      <c r="C3" t="s">
        <v>6</v>
      </c>
      <c r="D3" t="s">
        <v>7</v>
      </c>
      <c r="E3" t="s">
        <v>9</v>
      </c>
      <c r="F3" t="s">
        <v>8</v>
      </c>
      <c r="P3" t="s">
        <v>13</v>
      </c>
      <c r="Q3" t="s">
        <v>14</v>
      </c>
    </row>
    <row r="4" spans="1:19" x14ac:dyDescent="0.35">
      <c r="A4">
        <v>1</v>
      </c>
      <c r="B4">
        <v>0</v>
      </c>
      <c r="C4">
        <v>1</v>
      </c>
      <c r="D4">
        <v>2</v>
      </c>
      <c r="E4">
        <v>3</v>
      </c>
      <c r="F4">
        <v>4</v>
      </c>
      <c r="P4">
        <v>1</v>
      </c>
    </row>
    <row r="5" spans="1:19" x14ac:dyDescent="0.35">
      <c r="A5">
        <v>2</v>
      </c>
      <c r="C5">
        <v>1</v>
      </c>
      <c r="D5">
        <v>2</v>
      </c>
      <c r="E5">
        <v>3</v>
      </c>
      <c r="F5">
        <v>4</v>
      </c>
      <c r="P5">
        <v>1</v>
      </c>
    </row>
    <row r="6" spans="1:19" x14ac:dyDescent="0.35">
      <c r="A6">
        <v>3</v>
      </c>
      <c r="D6">
        <v>2</v>
      </c>
      <c r="E6">
        <v>3</v>
      </c>
      <c r="F6">
        <v>4</v>
      </c>
      <c r="P6">
        <v>1</v>
      </c>
    </row>
    <row r="7" spans="1:19" x14ac:dyDescent="0.35">
      <c r="A7">
        <v>4</v>
      </c>
      <c r="C7">
        <v>1</v>
      </c>
      <c r="D7">
        <v>2</v>
      </c>
      <c r="E7">
        <v>3</v>
      </c>
      <c r="F7">
        <v>4</v>
      </c>
      <c r="P7">
        <v>1</v>
      </c>
    </row>
    <row r="8" spans="1:19" x14ac:dyDescent="0.35">
      <c r="A8">
        <v>5</v>
      </c>
      <c r="B8">
        <v>0</v>
      </c>
      <c r="D8">
        <v>2</v>
      </c>
      <c r="E8">
        <v>3</v>
      </c>
      <c r="F8">
        <v>4</v>
      </c>
      <c r="P8">
        <v>1</v>
      </c>
    </row>
    <row r="9" spans="1:19" x14ac:dyDescent="0.35">
      <c r="A9">
        <v>6</v>
      </c>
      <c r="D9">
        <v>2</v>
      </c>
      <c r="P9">
        <v>1</v>
      </c>
    </row>
    <row r="10" spans="1:19" x14ac:dyDescent="0.35">
      <c r="A10">
        <v>7</v>
      </c>
      <c r="E10">
        <v>3</v>
      </c>
      <c r="P10">
        <v>1</v>
      </c>
    </row>
    <row r="11" spans="1:19" x14ac:dyDescent="0.35">
      <c r="A11">
        <v>8</v>
      </c>
      <c r="B11">
        <v>0</v>
      </c>
      <c r="D11">
        <v>2</v>
      </c>
      <c r="F11">
        <v>4</v>
      </c>
      <c r="Q11">
        <v>2</v>
      </c>
    </row>
    <row r="12" spans="1:19" x14ac:dyDescent="0.35">
      <c r="A12">
        <v>9</v>
      </c>
      <c r="C12">
        <v>1</v>
      </c>
      <c r="D12">
        <v>2</v>
      </c>
      <c r="Q12">
        <v>2</v>
      </c>
    </row>
    <row r="13" spans="1:19" x14ac:dyDescent="0.35">
      <c r="A13">
        <v>10</v>
      </c>
      <c r="D13">
        <v>2</v>
      </c>
      <c r="F13">
        <v>4</v>
      </c>
      <c r="Q13">
        <v>2</v>
      </c>
    </row>
    <row r="14" spans="1:19" x14ac:dyDescent="0.35">
      <c r="A14">
        <v>11</v>
      </c>
      <c r="D14">
        <v>2</v>
      </c>
      <c r="F14">
        <v>4</v>
      </c>
      <c r="P14">
        <v>1</v>
      </c>
    </row>
    <row r="15" spans="1:19" x14ac:dyDescent="0.35">
      <c r="A15">
        <v>12</v>
      </c>
      <c r="B15">
        <v>0</v>
      </c>
      <c r="D15">
        <v>2</v>
      </c>
      <c r="F15">
        <v>4</v>
      </c>
      <c r="P15">
        <v>1</v>
      </c>
    </row>
  </sheetData>
  <mergeCells count="3">
    <mergeCell ref="B1:N1"/>
    <mergeCell ref="B2:F2"/>
    <mergeCell ref="J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B6" sqref="B6"/>
    </sheetView>
  </sheetViews>
  <sheetFormatPr defaultRowHeight="14.5" x14ac:dyDescent="0.35"/>
  <cols>
    <col min="1" max="1" width="36.1796875" customWidth="1"/>
  </cols>
  <sheetData>
    <row r="1" spans="1:10" x14ac:dyDescent="0.35">
      <c r="B1" s="3" t="s">
        <v>11</v>
      </c>
      <c r="C1" s="2"/>
      <c r="D1" s="2"/>
      <c r="E1" s="2"/>
      <c r="F1" s="2"/>
      <c r="G1" s="2"/>
      <c r="H1" s="2"/>
      <c r="I1" s="2"/>
      <c r="J1" s="2"/>
    </row>
    <row r="2" spans="1:10" x14ac:dyDescent="0.35">
      <c r="A2" t="s">
        <v>1</v>
      </c>
      <c r="B2">
        <f>COUNTIF(_c1,0)</f>
        <v>4</v>
      </c>
    </row>
    <row r="3" spans="1:10" x14ac:dyDescent="0.35">
      <c r="A3" t="s">
        <v>10</v>
      </c>
      <c r="B3">
        <f>COUNTIF(_c2,1)</f>
        <v>4</v>
      </c>
    </row>
    <row r="4" spans="1:10" x14ac:dyDescent="0.35">
      <c r="A4" t="s">
        <v>2</v>
      </c>
      <c r="B4">
        <f>COUNTIF(_c3,2)</f>
        <v>11</v>
      </c>
    </row>
    <row r="5" spans="1:10" x14ac:dyDescent="0.35">
      <c r="A5" t="s">
        <v>3</v>
      </c>
      <c r="B5">
        <f>COUNTIF(_c4,3)</f>
        <v>6</v>
      </c>
    </row>
    <row r="6" spans="1:10" x14ac:dyDescent="0.35">
      <c r="A6" t="s">
        <v>4</v>
      </c>
      <c r="B6">
        <f>COUNTIF(_c5,4)</f>
        <v>9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6" sqref="D6"/>
    </sheetView>
  </sheetViews>
  <sheetFormatPr defaultRowHeight="14.5" x14ac:dyDescent="0.35"/>
  <sheetData>
    <row r="1" spans="1:7" x14ac:dyDescent="0.35">
      <c r="B1" s="8" t="s">
        <v>15</v>
      </c>
      <c r="C1" s="1"/>
      <c r="D1" s="1"/>
      <c r="E1" s="1"/>
      <c r="F1" s="1"/>
      <c r="G1" s="1"/>
    </row>
    <row r="2" spans="1:7" x14ac:dyDescent="0.35">
      <c r="A2" t="s">
        <v>16</v>
      </c>
      <c r="B2">
        <f>COUNTIF(Q2_,2)</f>
        <v>3</v>
      </c>
    </row>
    <row r="3" spans="1:7" x14ac:dyDescent="0.35">
      <c r="A3" t="s">
        <v>17</v>
      </c>
      <c r="B3">
        <f>COUNTIF(Q1_,1)</f>
        <v>9</v>
      </c>
    </row>
  </sheetData>
  <mergeCells count="1">
    <mergeCell ref="B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Survey</vt:lpstr>
      <vt:lpstr>features</vt:lpstr>
      <vt:lpstr>SATISIED</vt:lpstr>
      <vt:lpstr>_c1</vt:lpstr>
      <vt:lpstr>_c2</vt:lpstr>
      <vt:lpstr>_c3</vt:lpstr>
      <vt:lpstr>_c4</vt:lpstr>
      <vt:lpstr>_c5</vt:lpstr>
      <vt:lpstr>Q1_</vt:lpstr>
      <vt:lpstr>Q2_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dop24</dc:creator>
  <cp:lastModifiedBy>dop24</cp:lastModifiedBy>
  <dcterms:created xsi:type="dcterms:W3CDTF">2024-07-22T16:37:43Z</dcterms:created>
  <dcterms:modified xsi:type="dcterms:W3CDTF">2024-07-22T19:59:37Z</dcterms:modified>
</cp:coreProperties>
</file>